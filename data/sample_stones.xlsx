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d06b8cc83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" sheetId="1" r:id="R7a5af8834162494e"/>
    <x:sheet xmlns:r="http://schemas.openxmlformats.org/officeDocument/2006/relationships" name="Readme" sheetId="2" r:id="R3e2e7be58f754b18"/>
    <x:sheet xmlns:r="http://schemas.openxmlformats.org/officeDocument/2006/relationships" name="Options" sheetId="3" r:id="Rcf354f1a92e542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$#,##0"/>
    <x:numFmt numFmtId="202" formatCode="$#,##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CCFBF1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83e8e9af6842b9" /><Relationship Type="http://schemas.openxmlformats.org/officeDocument/2006/relationships/theme" Target="/xl/theme/theme1.xml" Id="R5e927bc24df64111" /><Relationship Type="http://schemas.openxmlformats.org/officeDocument/2006/relationships/sharedStrings" Target="/xl/sharedStrings.xml" Id="R51c3da3ecc074a1b" /><Relationship Type="http://schemas.openxmlformats.org/officeDocument/2006/relationships/worksheet" Target="/xl/worksheets/sheet1.xml" Id="R7a5af8834162494e" /><Relationship Type="http://schemas.openxmlformats.org/officeDocument/2006/relationships/worksheet" Target="/xl/worksheets/sheet2.xml" Id="R3e2e7be58f754b18" /><Relationship Type="http://schemas.openxmlformats.org/officeDocument/2006/relationships/worksheet" Target="/xl/worksheets/sheet3.xml" Id="Rcf354f1a92e542e2" /></Relationships>
</file>

<file path=xl/tables/table1.xml><?xml version="1.0" encoding="utf-8"?>
<x:table xmlns:x="http://schemas.openxmlformats.org/spreadsheetml/2006/main" id="1" name="CatalogTable" displayName="CatalogTable" ref="A1:Q21" headerRowCount="1">
  <x:tableColumns count="17">
    <x:tableColumn id="1" name="stone_id"/>
    <x:tableColumn id="2" name="supplier"/>
    <x:tableColumn id="3" name="origin"/>
    <x:tableColumn id="4" name="type"/>
    <x:tableColumn id="5" name="shape"/>
    <x:tableColumn id="6" name="carat"/>
    <x:tableColumn id="7" name="color"/>
    <x:tableColumn id="8" name="clarity"/>
    <x:tableColumn id="9" name="cut"/>
    <x:tableColumn id="10" name="polish"/>
    <x:tableColumn id="11" name="symmetry"/>
    <x:tableColumn id="12" name="fluorescence"/>
    <x:tableColumn id="13" name="certificate"/>
    <x:tableColumn id="14" name="price_usd"/>
    <x:tableColumn id="15" name="availability"/>
    <x:tableColumn id="16" name="notes"/>
    <x:tableColumn id="17" name="price_per_car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53d4c25319433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3" hidden="0" customWidth="1"/>
    <x:col min="5" max="5" width="12" hidden="0" customWidth="1"/>
    <x:col min="6" max="6" width="9" hidden="0" customWidth="1"/>
    <x:col min="7" max="7" width="10" hidden="0" customWidth="1"/>
    <x:col min="8" max="8" width="12" hidden="0" customWidth="1"/>
    <x:col min="9" max="9" width="13" hidden="0" customWidth="1"/>
    <x:col min="10" max="10" width="13" hidden="0" customWidth="1"/>
    <x:col min="11" max="11" width="13" hidden="0" customWidth="1"/>
    <x:col min="12" max="12" width="14" hidden="0" customWidth="1"/>
    <x:col min="13" max="13" width="13" hidden="0" customWidth="1"/>
    <x:col min="14" max="14" width="13" hidden="0" customWidth="1"/>
    <x:col min="15" max="15" width="13" hidden="0" customWidth="1"/>
    <x:col min="16" max="16" width="34" hidden="0" customWidth="1"/>
    <x:col min="17" max="17" width="16" hidden="0" customWidth="1"/>
  </x:cols>
  <x:sheetData>
    <x:row r="1" ht="28" customHeight="1">
      <x:c r="A1" s="18" t="str">
        <x:v>stone_id</x:v>
      </x:c>
      <x:c r="B1" s="18" t="str">
        <x:v>supplier</x:v>
      </x:c>
      <x:c r="C1" s="18" t="str">
        <x:v>origin</x:v>
      </x:c>
      <x:c r="D1" s="18" t="str">
        <x:v>type</x:v>
      </x:c>
      <x:c r="E1" s="18" t="str">
        <x:v>shape</x:v>
      </x:c>
      <x:c r="F1" s="18" t="str">
        <x:v>carat</x:v>
      </x:c>
      <x:c r="G1" s="18" t="str">
        <x:v>color</x:v>
      </x:c>
      <x:c r="H1" s="18" t="str">
        <x:v>clarity</x:v>
      </x:c>
      <x:c r="I1" s="18" t="str">
        <x:v>cut</x:v>
      </x:c>
      <x:c r="J1" s="18" t="str">
        <x:v>polish</x:v>
      </x:c>
      <x:c r="K1" s="18" t="str">
        <x:v>symmetry</x:v>
      </x:c>
      <x:c r="L1" s="18" t="str">
        <x:v>fluorescence</x:v>
      </x:c>
      <x:c r="M1" s="18" t="str">
        <x:v>certificate</x:v>
      </x:c>
      <x:c r="N1" s="18" t="str">
        <x:v>price_usd</x:v>
      </x:c>
      <x:c r="O1" s="18" t="str">
        <x:v>availability</x:v>
      </x:c>
      <x:c r="P1" s="18" t="str">
        <x:v>notes</x:v>
      </x:c>
      <x:c r="Q1" s="18" t="str">
        <x:v>price_per_carat</x:v>
      </x:c>
    </x:row>
    <x:row r="2">
      <x:c r="A2" s="19" t="str">
        <x:v>KRG-001</x:v>
      </x:c>
      <x:c r="B2" s="19" t="str">
        <x:v>Alpine Gems</x:v>
      </x:c>
      <x:c r="C2" s="19" t="str">
        <x:v>Botswana</x:v>
      </x:c>
      <x:c r="D2" s="19" t="str">
        <x:v>Diamond</x:v>
      </x:c>
      <x:c r="E2" s="19" t="str">
        <x:v>Round</x:v>
      </x:c>
      <x:c r="F2" s="20" t="n">
        <x:v>1.2</x:v>
      </x:c>
      <x:c r="G2" s="19" t="str">
        <x:v>D</x:v>
      </x:c>
      <x:c r="H2" s="19" t="str">
        <x:v>VVS1</x:v>
      </x:c>
      <x:c r="I2" s="19" t="str">
        <x:v>Excellent</x:v>
      </x:c>
      <x:c r="J2" s="19" t="str">
        <x:v>Excellent</x:v>
      </x:c>
      <x:c r="K2" s="19" t="str">
        <x:v>Excellent</x:v>
      </x:c>
      <x:c r="L2" s="19" t="str">
        <x:v>None</x:v>
      </x:c>
      <x:c r="M2" s="19" t="str">
        <x:v>GIA</x:v>
      </x:c>
      <x:c r="N2" s="21" t="n">
        <x:v>18200</x:v>
      </x:c>
      <x:c r="O2" s="19" t="str">
        <x:v>Available</x:v>
      </x:c>
      <x:c r="P2" s="19" t="str">
        <x:v>Top white stone, high confidence</x:v>
      </x:c>
      <x:c r="Q2" s="22" t="n">
        <x:f>IFERROR(N2/F2,0)</x:f>
        <x:v>15166.666666666668</x:v>
      </x:c>
    </x:row>
    <x:row r="3">
      <x:c r="A3" s="19" t="str">
        <x:v>KRG-002</x:v>
      </x:c>
      <x:c r="B3" s="19" t="str">
        <x:v>North Star</x:v>
      </x:c>
      <x:c r="C3" s="19" t="str">
        <x:v>South Africa</x:v>
      </x:c>
      <x:c r="D3" s="19" t="str">
        <x:v>Diamond</x:v>
      </x:c>
      <x:c r="E3" s="19" t="str">
        <x:v>Oval</x:v>
      </x:c>
      <x:c r="F3" s="20" t="n">
        <x:v>1.55</x:v>
      </x:c>
      <x:c r="G3" s="19" t="str">
        <x:v>F</x:v>
      </x:c>
      <x:c r="H3" s="19" t="str">
        <x:v>VS1</x:v>
      </x:c>
      <x:c r="I3" s="19" t="str">
        <x:v>Excellent</x:v>
      </x:c>
      <x:c r="J3" s="19" t="str">
        <x:v>Very Good</x:v>
      </x:c>
      <x:c r="K3" s="19" t="str">
        <x:v>Excellent</x:v>
      </x:c>
      <x:c r="L3" s="19" t="str">
        <x:v>Faint</x:v>
      </x:c>
      <x:c r="M3" s="19" t="str">
        <x:v>GIA</x:v>
      </x:c>
      <x:c r="N3" s="21" t="n">
        <x:v>21400</x:v>
      </x:c>
      <x:c r="O3" s="19" t="str">
        <x:v>Available</x:v>
      </x:c>
      <x:c r="P3" s="19" t="str">
        <x:v>Balanced premium oval</x:v>
      </x:c>
      <x:c r="Q3" s="22" t="n">
        <x:f>IFERROR(N3/F3,0)</x:f>
        <x:v>13806.451612903225</x:v>
      </x:c>
    </x:row>
    <x:row r="4">
      <x:c r="A4" s="19" t="str">
        <x:v>KRG-003</x:v>
      </x:c>
      <x:c r="B4" s="19" t="str">
        <x:v>Kabul Estate</x:v>
      </x:c>
      <x:c r="C4" s="19" t="str">
        <x:v>Afghanistan</x:v>
      </x:c>
      <x:c r="D4" s="19" t="str">
        <x:v>Emerald</x:v>
      </x:c>
      <x:c r="E4" s="19" t="str">
        <x:v>Emerald</x:v>
      </x:c>
      <x:c r="F4" s="20" t="n">
        <x:v>2.1</x:v>
      </x:c>
      <x:c r="G4" s="19" t="str">
        <x:v>Green</x:v>
      </x:c>
      <x:c r="H4" s="19" t="str">
        <x:v>Eye Clean</x:v>
      </x:c>
      <x:c r="I4" s="19" t="str">
        <x:v>Very Good</x:v>
      </x:c>
      <x:c r="J4" s="19" t="str">
        <x:v>Very Good</x:v>
      </x:c>
      <x:c r="K4" s="19" t="str">
        <x:v>Good</x:v>
      </x:c>
      <x:c r="L4" s="19" t="str">
        <x:v>None</x:v>
      </x:c>
      <x:c r="M4" s="19" t="str">
        <x:v>GRS</x:v>
      </x:c>
      <x:c r="N4" s="21" t="n">
        <x:v>9800</x:v>
      </x:c>
      <x:c r="O4" s="19" t="str">
        <x:v>On Memo</x:v>
      </x:c>
      <x:c r="P4" s="19" t="str">
        <x:v>Minor oil, strong color</x:v>
      </x:c>
      <x:c r="Q4" s="22" t="n">
        <x:f>IFERROR(N4/F4,0)</x:f>
        <x:v>4666.666666666666</x:v>
      </x:c>
    </x:row>
    <x:row r="5">
      <x:c r="A5" s="19" t="str">
        <x:v>KRG-004</x:v>
      </x:c>
      <x:c r="B5" s="19" t="str">
        <x:v>Sierra Supply</x:v>
      </x:c>
      <x:c r="C5" s="19" t="str">
        <x:v>Sri Lanka</x:v>
      </x:c>
      <x:c r="D5" s="19" t="str">
        <x:v>Sapphire</x:v>
      </x:c>
      <x:c r="E5" s="19" t="str">
        <x:v>Cushion</x:v>
      </x:c>
      <x:c r="F5" s="20" t="n">
        <x:v>2.85</x:v>
      </x:c>
      <x:c r="G5" s="19" t="str">
        <x:v>Blue</x:v>
      </x:c>
      <x:c r="H5" s="19" t="str">
        <x:v>Eye Clean</x:v>
      </x:c>
      <x:c r="I5" s="19" t="str">
        <x:v>Very Good</x:v>
      </x:c>
      <x:c r="J5" s="19" t="str">
        <x:v>Good</x:v>
      </x:c>
      <x:c r="K5" s="19" t="str">
        <x:v>Good</x:v>
      </x:c>
      <x:c r="L5" s="19" t="str">
        <x:v>None</x:v>
      </x:c>
      <x:c r="M5" s="19" t="str">
        <x:v>SSEF</x:v>
      </x:c>
      <x:c r="N5" s="21" t="n">
        <x:v>16500</x:v>
      </x:c>
      <x:c r="O5" s="19" t="str">
        <x:v>Reserved</x:v>
      </x:c>
      <x:c r="P5" s="19" t="str">
        <x:v>Royal blue tone</x:v>
      </x:c>
      <x:c r="Q5" s="22" t="n">
        <x:f>IFERROR(N5/F5,0)</x:f>
        <x:v>5789.473684210526</x:v>
      </x:c>
    </x:row>
    <x:row r="6">
      <x:c r="A6" s="19" t="str">
        <x:v>KRG-005</x:v>
      </x:c>
      <x:c r="B6" s="19" t="str">
        <x:v>Aurora Stones</x:v>
      </x:c>
      <x:c r="C6" s="19" t="str">
        <x:v>Mozambique</x:v>
      </x:c>
      <x:c r="D6" s="19" t="str">
        <x:v>Ruby</x:v>
      </x:c>
      <x:c r="E6" s="19" t="str">
        <x:v>Oval</x:v>
      </x:c>
      <x:c r="F6" s="20" t="n">
        <x:v>1.4</x:v>
      </x:c>
      <x:c r="G6" s="19" t="str">
        <x:v>Red</x:v>
      </x:c>
      <x:c r="H6" s="19" t="str">
        <x:v>Eye Clean</x:v>
      </x:c>
      <x:c r="I6" s="19" t="str">
        <x:v>Excellent</x:v>
      </x:c>
      <x:c r="J6" s="19" t="str">
        <x:v>Very Good</x:v>
      </x:c>
      <x:c r="K6" s="19" t="str">
        <x:v>Very Good</x:v>
      </x:c>
      <x:c r="L6" s="19" t="str">
        <x:v>None</x:v>
      </x:c>
      <x:c r="M6" s="19" t="str">
        <x:v>Gubelin</x:v>
      </x:c>
      <x:c r="N6" s="21" t="n">
        <x:v>22600</x:v>
      </x:c>
      <x:c r="O6" s="19" t="str">
        <x:v>Available</x:v>
      </x:c>
      <x:c r="P6" s="19" t="str">
        <x:v>Unheated candidate</x:v>
      </x:c>
      <x:c r="Q6" s="22" t="n">
        <x:f>IFERROR(N6/F6,0)</x:f>
        <x:v>16142.857142857143</x:v>
      </x:c>
    </x:row>
    <x:row r="7">
      <x:c r="A7" s="19" t="str">
        <x:v>KRG-006</x:v>
      </x:c>
      <x:c r="B7" s="19" t="str">
        <x:v>North Star</x:v>
      </x:c>
      <x:c r="C7" s="19" t="str">
        <x:v>Canada</x:v>
      </x:c>
      <x:c r="D7" s="19" t="str">
        <x:v>Diamond</x:v>
      </x:c>
      <x:c r="E7" s="19" t="str">
        <x:v>Princess</x:v>
      </x:c>
      <x:c r="F7" s="20" t="n">
        <x:v>0.9</x:v>
      </x:c>
      <x:c r="G7" s="19" t="str">
        <x:v>G</x:v>
      </x:c>
      <x:c r="H7" s="19" t="str">
        <x:v>VS2</x:v>
      </x:c>
      <x:c r="I7" s="19" t="str">
        <x:v>Very Good</x:v>
      </x:c>
      <x:c r="J7" s="19" t="str">
        <x:v>Very Good</x:v>
      </x:c>
      <x:c r="K7" s="19" t="str">
        <x:v>Very Good</x:v>
      </x:c>
      <x:c r="L7" s="19" t="str">
        <x:v>Medium</x:v>
      </x:c>
      <x:c r="M7" s="19" t="str">
        <x:v>IGI</x:v>
      </x:c>
      <x:c r="N7" s="21" t="n">
        <x:v>5200</x:v>
      </x:c>
      <x:c r="O7" s="19" t="str">
        <x:v>Available</x:v>
      </x:c>
      <x:c r="P7" s="19" t="str">
        <x:v>Good entry point</x:v>
      </x:c>
      <x:c r="Q7" s="22" t="n">
        <x:f>IFERROR(N7/F7,0)</x:f>
        <x:v>5777.777777777777</x:v>
      </x:c>
    </x:row>
    <x:row r="8">
      <x:c r="A8" s="19" t="str">
        <x:v>KRG-007</x:v>
      </x:c>
      <x:c r="B8" s="19" t="str">
        <x:v>Baltic Trade</x:v>
      </x:c>
      <x:c r="C8" s="19" t="str">
        <x:v>Brazil</x:v>
      </x:c>
      <x:c r="D8" s="19" t="str">
        <x:v>Aquamarine</x:v>
      </x:c>
      <x:c r="E8" s="19" t="str">
        <x:v>Pear</x:v>
      </x:c>
      <x:c r="F8" s="20" t="n">
        <x:v>5.2</x:v>
      </x:c>
      <x:c r="G8" s="19" t="str">
        <x:v>Blue</x:v>
      </x:c>
      <x:c r="H8" s="19" t="str">
        <x:v>Eye Clean</x:v>
      </x:c>
      <x:c r="I8" s="19" t="str">
        <x:v>Good</x:v>
      </x:c>
      <x:c r="J8" s="19" t="str">
        <x:v>Good</x:v>
      </x:c>
      <x:c r="K8" s="19" t="str">
        <x:v>Good</x:v>
      </x:c>
      <x:c r="L8" s="19" t="str">
        <x:v>None</x:v>
      </x:c>
      <x:c r="M8" s="19" t="str">
        <x:v>Local</x:v>
      </x:c>
      <x:c r="N8" s="21" t="n">
        <x:v>3900</x:v>
      </x:c>
      <x:c r="O8" s="19" t="str">
        <x:v>Available</x:v>
      </x:c>
      <x:c r="P8" s="19" t="str">
        <x:v>Large commercial stone</x:v>
      </x:c>
      <x:c r="Q8" s="22" t="n">
        <x:f>IFERROR(N8/F8,0)</x:f>
        <x:v>750</x:v>
      </x:c>
    </x:row>
    <x:row r="9">
      <x:c r="A9" s="19" t="str">
        <x:v>KRG-008</x:v>
      </x:c>
      <x:c r="B9" s="19" t="str">
        <x:v>Alpine Gems</x:v>
      </x:c>
      <x:c r="C9" s="19" t="str">
        <x:v>Namibia</x:v>
      </x:c>
      <x:c r="D9" s="19" t="str">
        <x:v>Diamond</x:v>
      </x:c>
      <x:c r="E9" s="19" t="str">
        <x:v>Round</x:v>
      </x:c>
      <x:c r="F9" s="20" t="n">
        <x:v>2.01</x:v>
      </x:c>
      <x:c r="G9" s="19" t="str">
        <x:v>H</x:v>
      </x:c>
      <x:c r="H9" s="19" t="str">
        <x:v>SI1</x:v>
      </x:c>
      <x:c r="I9" s="19" t="str">
        <x:v>Excellent</x:v>
      </x:c>
      <x:c r="J9" s="19" t="str">
        <x:v>Excellent</x:v>
      </x:c>
      <x:c r="K9" s="19" t="str">
        <x:v>Very Good</x:v>
      </x:c>
      <x:c r="L9" s="19" t="str">
        <x:v>Strong</x:v>
      </x:c>
      <x:c r="M9" s="19" t="str">
        <x:v>GIA</x:v>
      </x:c>
      <x:c r="N9" s="21" t="n">
        <x:v>25100</x:v>
      </x:c>
      <x:c r="O9" s="19" t="str">
        <x:v>Available</x:v>
      </x:c>
      <x:c r="P9" s="19" t="str">
        <x:v>Check fluorescence impact</x:v>
      </x:c>
      <x:c r="Q9" s="22" t="n">
        <x:f>IFERROR(N9/F9,0)</x:f>
        <x:v>12487.562189054728</x:v>
      </x:c>
    </x:row>
    <x:row r="10">
      <x:c r="A10" s="19" t="str">
        <x:v>KRG-009</x:v>
      </x:c>
      <x:c r="B10" s="19" t="str">
        <x:v>Sierra Supply</x:v>
      </x:c>
      <x:c r="C10" s="19" t="str">
        <x:v>Madagascar</x:v>
      </x:c>
      <x:c r="D10" s="19" t="str">
        <x:v>Sapphire</x:v>
      </x:c>
      <x:c r="E10" s="19" t="str">
        <x:v>Round</x:v>
      </x:c>
      <x:c r="F10" s="20" t="n">
        <x:v>1.75</x:v>
      </x:c>
      <x:c r="G10" s="19" t="str">
        <x:v>Blue</x:v>
      </x:c>
      <x:c r="H10" s="19" t="str">
        <x:v>Included</x:v>
      </x:c>
      <x:c r="I10" s="19" t="str">
        <x:v>Good</x:v>
      </x:c>
      <x:c r="J10" s="19" t="str">
        <x:v>Good</x:v>
      </x:c>
      <x:c r="K10" s="19" t="str">
        <x:v>Good</x:v>
      </x:c>
      <x:c r="L10" s="19" t="str">
        <x:v>None</x:v>
      </x:c>
      <x:c r="M10" s="19" t="str">
        <x:v>AIGS</x:v>
      </x:c>
      <x:c r="N10" s="21" t="n">
        <x:v>4700</x:v>
      </x:c>
      <x:c r="O10" s="19" t="str">
        <x:v>Available</x:v>
      </x:c>
      <x:c r="P10" s="19" t="str">
        <x:v>Included but attractive price</x:v>
      </x:c>
      <x:c r="Q10" s="22" t="n">
        <x:f>IFERROR(N10/F10,0)</x:f>
        <x:v>2685.714285714286</x:v>
      </x:c>
    </x:row>
    <x:row r="11">
      <x:c r="A11" s="19" t="str">
        <x:v>KRG-010</x:v>
      </x:c>
      <x:c r="B11" s="19" t="str">
        <x:v>Aurora Stones</x:v>
      </x:c>
      <x:c r="C11" s="19" t="str">
        <x:v>Tanzania</x:v>
      </x:c>
      <x:c r="D11" s="19" t="str">
        <x:v>Tanzanite</x:v>
      </x:c>
      <x:c r="E11" s="19" t="str">
        <x:v>Cushion</x:v>
      </x:c>
      <x:c r="F11" s="20" t="n">
        <x:v>4.6</x:v>
      </x:c>
      <x:c r="G11" s="19" t="str">
        <x:v>Blue</x:v>
      </x:c>
      <x:c r="H11" s="19" t="str">
        <x:v>Eye Clean</x:v>
      </x:c>
      <x:c r="I11" s="19" t="str">
        <x:v>Very Good</x:v>
      </x:c>
      <x:c r="J11" s="19" t="str">
        <x:v>Good</x:v>
      </x:c>
      <x:c r="K11" s="19" t="str">
        <x:v>Good</x:v>
      </x:c>
      <x:c r="L11" s="19" t="str">
        <x:v>None</x:v>
      </x:c>
      <x:c r="M11" s="19" t="str">
        <x:v>Local</x:v>
      </x:c>
      <x:c r="N11" s="21" t="n">
        <x:v>7200</x:v>
      </x:c>
      <x:c r="O11" s="19" t="str">
        <x:v>Available</x:v>
      </x:c>
      <x:c r="P11" s="19" t="str">
        <x:v>Deep saturation</x:v>
      </x:c>
      <x:c r="Q11" s="22" t="n">
        <x:f>IFERROR(N11/F11,0)</x:f>
        <x:v>1565.217391304348</x:v>
      </x:c>
    </x:row>
    <x:row r="12">
      <x:c r="A12" s="19" t="str">
        <x:v>KRG-011</x:v>
      </x:c>
      <x:c r="B12" s="19" t="str">
        <x:v>Alpine Gems</x:v>
      </x:c>
      <x:c r="C12" s="19" t="str">
        <x:v>Australia</x:v>
      </x:c>
      <x:c r="D12" s="19" t="str">
        <x:v>Diamond</x:v>
      </x:c>
      <x:c r="E12" s="19" t="str">
        <x:v>Marquise</x:v>
      </x:c>
      <x:c r="F12" s="20" t="n">
        <x:v>1.1</x:v>
      </x:c>
      <x:c r="G12" s="19" t="str">
        <x:v>I</x:v>
      </x:c>
      <x:c r="H12" s="19" t="str">
        <x:v>VS2</x:v>
      </x:c>
      <x:c r="I12" s="19" t="str">
        <x:v>Good</x:v>
      </x:c>
      <x:c r="J12" s="19" t="str">
        <x:v>Good</x:v>
      </x:c>
      <x:c r="K12" s="19" t="str">
        <x:v>Good</x:v>
      </x:c>
      <x:c r="L12" s="19" t="str">
        <x:v>Faint</x:v>
      </x:c>
      <x:c r="M12" s="19" t="str">
        <x:v>IGI</x:v>
      </x:c>
      <x:c r="N12" s="21" t="n">
        <x:v>6100</x:v>
      </x:c>
      <x:c r="O12" s="19" t="str">
        <x:v>Reserved</x:v>
      </x:c>
      <x:c r="P12" s="19" t="str">
        <x:v>Needs comparison</x:v>
      </x:c>
      <x:c r="Q12" s="22" t="n">
        <x:f>IFERROR(N12/F12,0)</x:f>
        <x:v>5545.454545454545</x:v>
      </x:c>
    </x:row>
    <x:row r="13">
      <x:c r="A13" s="19" t="str">
        <x:v>KRG-012</x:v>
      </x:c>
      <x:c r="B13" s="19" t="str">
        <x:v>Kabul Estate</x:v>
      </x:c>
      <x:c r="C13" s="19" t="str">
        <x:v>Colombia</x:v>
      </x:c>
      <x:c r="D13" s="19" t="str">
        <x:v>Emerald</x:v>
      </x:c>
      <x:c r="E13" s="19" t="str">
        <x:v>Octagon</x:v>
      </x:c>
      <x:c r="F13" s="20" t="n">
        <x:v>1.8</x:v>
      </x:c>
      <x:c r="G13" s="19" t="str">
        <x:v>Green</x:v>
      </x:c>
      <x:c r="H13" s="19" t="str">
        <x:v>Eye Clean</x:v>
      </x:c>
      <x:c r="I13" s="19" t="str">
        <x:v>Very Good</x:v>
      </x:c>
      <x:c r="J13" s="19" t="str">
        <x:v>Very Good</x:v>
      </x:c>
      <x:c r="K13" s="19" t="str">
        <x:v>Good</x:v>
      </x:c>
      <x:c r="L13" s="19" t="str">
        <x:v>None</x:v>
      </x:c>
      <x:c r="M13" s="19" t="str">
        <x:v>Gubelin</x:v>
      </x:c>
      <x:c r="N13" s="21" t="n">
        <x:v>15800</x:v>
      </x:c>
      <x:c r="O13" s="19" t="str">
        <x:v>Available</x:v>
      </x:c>
      <x:c r="P13" s="19" t="str">
        <x:v>High transparency</x:v>
      </x:c>
      <x:c r="Q13" s="22" t="n">
        <x:f>IFERROR(N13/F13,0)</x:f>
        <x:v>8777.777777777777</x:v>
      </x:c>
    </x:row>
    <x:row r="14">
      <x:c r="A14" s="19" t="str">
        <x:v>KRG-013</x:v>
      </x:c>
      <x:c r="B14" s="19" t="str">
        <x:v>North Star</x:v>
      </x:c>
      <x:c r="C14" s="19" t="str">
        <x:v>Lesotho</x:v>
      </x:c>
      <x:c r="D14" s="19" t="str">
        <x:v>Diamond</x:v>
      </x:c>
      <x:c r="E14" s="19" t="str">
        <x:v>Round</x:v>
      </x:c>
      <x:c r="F14" s="20" t="n">
        <x:v>0.7</x:v>
      </x:c>
      <x:c r="G14" s="19" t="str">
        <x:v>E</x:v>
      </x:c>
      <x:c r="H14" s="19" t="str">
        <x:v>IF</x:v>
      </x:c>
      <x:c r="I14" s="19" t="str">
        <x:v>Excellent</x:v>
      </x:c>
      <x:c r="J14" s="19" t="str">
        <x:v>Excellent</x:v>
      </x:c>
      <x:c r="K14" s="19" t="str">
        <x:v>Excellent</x:v>
      </x:c>
      <x:c r="L14" s="19" t="str">
        <x:v>None</x:v>
      </x:c>
      <x:c r="M14" s="19" t="str">
        <x:v>GIA</x:v>
      </x:c>
      <x:c r="N14" s="21" t="n">
        <x:v>8800</x:v>
      </x:c>
      <x:c r="O14" s="19" t="str">
        <x:v>Available</x:v>
      </x:c>
      <x:c r="P14" s="19" t="str">
        <x:v>Small but very high quality</x:v>
      </x:c>
      <x:c r="Q14" s="22" t="n">
        <x:f>IFERROR(N14/F14,0)</x:f>
        <x:v>12571.428571428572</x:v>
      </x:c>
    </x:row>
    <x:row r="15">
      <x:c r="A15" s="19" t="str">
        <x:v>KRG-014</x:v>
      </x:c>
      <x:c r="B15" s="19" t="str">
        <x:v>Baltic Trade</x:v>
      </x:c>
      <x:c r="C15" s="19" t="str">
        <x:v>Thailand</x:v>
      </x:c>
      <x:c r="D15" s="19" t="str">
        <x:v>Ruby</x:v>
      </x:c>
      <x:c r="E15" s="19" t="str">
        <x:v>Cushion</x:v>
      </x:c>
      <x:c r="F15" s="20" t="n">
        <x:v>2.2</x:v>
      </x:c>
      <x:c r="G15" s="19" t="str">
        <x:v>Red</x:v>
      </x:c>
      <x:c r="H15" s="19" t="str">
        <x:v>Included</x:v>
      </x:c>
      <x:c r="I15" s="19" t="str">
        <x:v>Good</x:v>
      </x:c>
      <x:c r="J15" s="19" t="str">
        <x:v>Good</x:v>
      </x:c>
      <x:c r="K15" s="19" t="str">
        <x:v>Fair</x:v>
      </x:c>
      <x:c r="L15" s="19" t="str">
        <x:v>None</x:v>
      </x:c>
      <x:c r="M15" s="19" t="str">
        <x:v>AIGS</x:v>
      </x:c>
      <x:c r="N15" s="21" t="n">
        <x:v>7400</x:v>
      </x:c>
      <x:c r="O15" s="19" t="str">
        <x:v>Pending</x:v>
      </x:c>
      <x:c r="P15" s="19" t="str">
        <x:v>Treatments to verify</x:v>
      </x:c>
      <x:c r="Q15" s="22" t="n">
        <x:f>IFERROR(N15/F15,0)</x:f>
        <x:v>3363.6363636363635</x:v>
      </x:c>
    </x:row>
    <x:row r="16">
      <x:c r="A16" s="19" t="str">
        <x:v>KRG-015</x:v>
      </x:c>
      <x:c r="B16" s="19" t="str">
        <x:v>Sierra Supply</x:v>
      </x:c>
      <x:c r="C16" s="19" t="str">
        <x:v>Sri Lanka</x:v>
      </x:c>
      <x:c r="D16" s="19" t="str">
        <x:v>Sapphire</x:v>
      </x:c>
      <x:c r="E16" s="19" t="str">
        <x:v>Oval</x:v>
      </x:c>
      <x:c r="F16" s="20" t="n">
        <x:v>3.1</x:v>
      </x:c>
      <x:c r="G16" s="19" t="str">
        <x:v>Blue</x:v>
      </x:c>
      <x:c r="H16" s="19" t="str">
        <x:v>Eye Clean</x:v>
      </x:c>
      <x:c r="I16" s="19" t="str">
        <x:v>Excellent</x:v>
      </x:c>
      <x:c r="J16" s="19" t="str">
        <x:v>Very Good</x:v>
      </x:c>
      <x:c r="K16" s="19" t="str">
        <x:v>Very Good</x:v>
      </x:c>
      <x:c r="L16" s="19" t="str">
        <x:v>None</x:v>
      </x:c>
      <x:c r="M16" s="19" t="str">
        <x:v>SSEF</x:v>
      </x:c>
      <x:c r="N16" s="21" t="n">
        <x:v>28400</x:v>
      </x:c>
      <x:c r="O16" s="19" t="str">
        <x:v>Available</x:v>
      </x:c>
      <x:c r="P16" s="19" t="str">
        <x:v>Investment grade sample</x:v>
      </x:c>
      <x:c r="Q16" s="22" t="n">
        <x:f>IFERROR(N16/F16,0)</x:f>
        <x:v>9161.290322580646</x:v>
      </x:c>
    </x:row>
    <x:row r="17">
      <x:c r="A17" s="19" t="str">
        <x:v>KRG-016</x:v>
      </x:c>
      <x:c r="B17" s="19" t="str">
        <x:v>Aurora Stones</x:v>
      </x:c>
      <x:c r="C17" s="19" t="str">
        <x:v>India</x:v>
      </x:c>
      <x:c r="D17" s="19" t="str">
        <x:v>Diamond</x:v>
      </x:c>
      <x:c r="E17" s="19" t="str">
        <x:v>Pear</x:v>
      </x:c>
      <x:c r="F17" s="20" t="n">
        <x:v>1.32</x:v>
      </x:c>
      <x:c r="G17" s="19" t="str">
        <x:v>J</x:v>
      </x:c>
      <x:c r="H17" s="19" t="str">
        <x:v>SI2</x:v>
      </x:c>
      <x:c r="I17" s="19" t="str">
        <x:v>Very Good</x:v>
      </x:c>
      <x:c r="J17" s="19" t="str">
        <x:v>Good</x:v>
      </x:c>
      <x:c r="K17" s="19" t="str">
        <x:v>Good</x:v>
      </x:c>
      <x:c r="L17" s="19" t="str">
        <x:v>Medium</x:v>
      </x:c>
      <x:c r="M17" s="19" t="str">
        <x:v>IGI</x:v>
      </x:c>
      <x:c r="N17" s="21" t="n">
        <x:v>4600</x:v>
      </x:c>
      <x:c r="O17" s="19" t="str">
        <x:v>Available</x:v>
      </x:c>
      <x:c r="P17" s="19" t="str">
        <x:v>Price-driven option</x:v>
      </x:c>
      <x:c r="Q17" s="22" t="n">
        <x:f>IFERROR(N17/F17,0)</x:f>
        <x:v>3484.8484848484845</x:v>
      </x:c>
    </x:row>
    <x:row r="18">
      <x:c r="A18" s="19" t="str">
        <x:v>KRG-017</x:v>
      </x:c>
      <x:c r="B18" s="19" t="str">
        <x:v>Alpine Gems</x:v>
      </x:c>
      <x:c r="C18" s="19" t="str">
        <x:v>Botswana</x:v>
      </x:c>
      <x:c r="D18" s="19" t="str">
        <x:v>Diamond</x:v>
      </x:c>
      <x:c r="E18" s="19" t="str">
        <x:v>Round</x:v>
      </x:c>
      <x:c r="F18" s="20" t="n">
        <x:v>1.8</x:v>
      </x:c>
      <x:c r="G18" s="19" t="str">
        <x:v>D</x:v>
      </x:c>
      <x:c r="H18" s="19" t="str">
        <x:v>VS1</x:v>
      </x:c>
      <x:c r="I18" s="19" t="str">
        <x:v>Excellent</x:v>
      </x:c>
      <x:c r="J18" s="19" t="str">
        <x:v>Excellent</x:v>
      </x:c>
      <x:c r="K18" s="19" t="str">
        <x:v>Excellent</x:v>
      </x:c>
      <x:c r="L18" s="19" t="str">
        <x:v>None</x:v>
      </x:c>
      <x:c r="M18" s="19" t="str">
        <x:v>GIA</x:v>
      </x:c>
      <x:c r="N18" s="21" t="n">
        <x:v>33600</x:v>
      </x:c>
      <x:c r="O18" s="19" t="str">
        <x:v>Available</x:v>
      </x:c>
      <x:c r="P18" s="19" t="str">
        <x:v>Premium benchmark</x:v>
      </x:c>
      <x:c r="Q18" s="22" t="n">
        <x:f>IFERROR(N18/F18,0)</x:f>
        <x:v>18666.666666666668</x:v>
      </x:c>
    </x:row>
    <x:row r="19">
      <x:c r="A19" s="19" t="str">
        <x:v>KRG-018</x:v>
      </x:c>
      <x:c r="B19" s="19" t="str">
        <x:v>Kabul Estate</x:v>
      </x:c>
      <x:c r="C19" s="19" t="str">
        <x:v>Zambia</x:v>
      </x:c>
      <x:c r="D19" s="19" t="str">
        <x:v>Emerald</x:v>
      </x:c>
      <x:c r="E19" s="19" t="str">
        <x:v>Emerald</x:v>
      </x:c>
      <x:c r="F19" s="20" t="n">
        <x:v>3.4</x:v>
      </x:c>
      <x:c r="G19" s="19" t="str">
        <x:v>Green</x:v>
      </x:c>
      <x:c r="H19" s="19" t="str">
        <x:v>Included</x:v>
      </x:c>
      <x:c r="I19" s="19" t="str">
        <x:v>Good</x:v>
      </x:c>
      <x:c r="J19" s="19" t="str">
        <x:v>Good</x:v>
      </x:c>
      <x:c r="K19" s="19" t="str">
        <x:v>Good</x:v>
      </x:c>
      <x:c r="L19" s="19" t="str">
        <x:v>None</x:v>
      </x:c>
      <x:c r="M19" s="19" t="str">
        <x:v>GRS</x:v>
      </x:c>
      <x:c r="N19" s="21" t="n">
        <x:v>11200</x:v>
      </x:c>
      <x:c r="O19" s="19" t="str">
        <x:v>On Memo</x:v>
      </x:c>
      <x:c r="P19" s="19" t="str">
        <x:v>Commercial quality</x:v>
      </x:c>
      <x:c r="Q19" s="22" t="n">
        <x:f>IFERROR(N19/F19,0)</x:f>
        <x:v>3294.1176470588234</x:v>
      </x:c>
    </x:row>
    <x:row r="20">
      <x:c r="A20" s="19" t="str">
        <x:v>KRG-019</x:v>
      </x:c>
      <x:c r="B20" s="19" t="str">
        <x:v>North Star</x:v>
      </x:c>
      <x:c r="C20" s="19" t="str">
        <x:v>South Africa</x:v>
      </x:c>
      <x:c r="D20" s="19" t="str">
        <x:v>Diamond</x:v>
      </x:c>
      <x:c r="E20" s="19" t="str">
        <x:v>Cushion</x:v>
      </x:c>
      <x:c r="F20" s="20" t="n">
        <x:v>1.05</x:v>
      </x:c>
      <x:c r="G20" s="19" t="str">
        <x:v>F</x:v>
      </x:c>
      <x:c r="H20" s="19" t="str">
        <x:v>VVS2</x:v>
      </x:c>
      <x:c r="I20" s="19" t="str">
        <x:v>Excellent</x:v>
      </x:c>
      <x:c r="J20" s="19" t="str">
        <x:v>Excellent</x:v>
      </x:c>
      <x:c r="K20" s="19" t="str">
        <x:v>Very Good</x:v>
      </x:c>
      <x:c r="L20" s="19" t="str">
        <x:v>Faint</x:v>
      </x:c>
      <x:c r="M20" s="19" t="str">
        <x:v>GIA</x:v>
      </x:c>
      <x:c r="N20" s="21" t="n">
        <x:v>12800</x:v>
      </x:c>
      <x:c r="O20" s="19" t="str">
        <x:v>Sold</x:v>
      </x:c>
      <x:c r="P20" s="19" t="str">
        <x:v>Sold reference</x:v>
      </x:c>
      <x:c r="Q20" s="22" t="n">
        <x:f>IFERROR(N20/F20,0)</x:f>
        <x:v>12190.47619047619</x:v>
      </x:c>
    </x:row>
    <x:row r="21">
      <x:c r="A21" s="19" t="str">
        <x:v>KRG-020</x:v>
      </x:c>
      <x:c r="B21" s="19" t="str">
        <x:v>Baltic Trade</x:v>
      </x:c>
      <x:c r="C21" s="19" t="str">
        <x:v>Vietnam</x:v>
      </x:c>
      <x:c r="D21" s="19" t="str">
        <x:v>Spinel</x:v>
      </x:c>
      <x:c r="E21" s="19" t="str">
        <x:v>Oval</x:v>
      </x:c>
      <x:c r="F21" s="20" t="n">
        <x:v>2.65</x:v>
      </x:c>
      <x:c r="G21" s="19" t="str">
        <x:v>Pink</x:v>
      </x:c>
      <x:c r="H21" s="19" t="str">
        <x:v>Eye Clean</x:v>
      </x:c>
      <x:c r="I21" s="19" t="str">
        <x:v>Very Good</x:v>
      </x:c>
      <x:c r="J21" s="19" t="str">
        <x:v>Very Good</x:v>
      </x:c>
      <x:c r="K21" s="19" t="str">
        <x:v>Good</x:v>
      </x:c>
      <x:c r="L21" s="19" t="str">
        <x:v>None</x:v>
      </x:c>
      <x:c r="M21" s="19" t="str">
        <x:v>GRS</x:v>
      </x:c>
      <x:c r="N21" s="21" t="n">
        <x:v>9400</x:v>
      </x:c>
      <x:c r="O21" s="19" t="str">
        <x:v>Available</x:v>
      </x:c>
      <x:c r="P21" s="19" t="str">
        <x:v>Niche demand</x:v>
      </x:c>
      <x:c r="Q21" s="22" t="n">
        <x:f>IFERROR(N21/F21,0)</x:f>
        <x:v>3547.169811320755</x:v>
      </x:c>
    </x:row>
  </x:sheetData>
  <x:dataValidations count="6">
    <x:dataValidation type="list" sqref="I2:I21">
      <x:formula1>Options!$A$2:$A$6</x:formula1>
    </x:dataValidation>
    <x:dataValidation type="list" sqref="J2:J21">
      <x:formula1>Options!$A$2:$A$6</x:formula1>
    </x:dataValidation>
    <x:dataValidation type="list" sqref="K2:K21">
      <x:formula1>Options!$A$2:$A$6</x:formula1>
    </x:dataValidation>
    <x:dataValidation type="list" sqref="L2:L21">
      <x:formula1>Options!$D$2:$D$6</x:formula1>
    </x:dataValidation>
    <x:dataValidation type="list" sqref="M2:M21">
      <x:formula1>Options!$C$2:$C$10</x:formula1>
    </x:dataValidation>
    <x:dataValidation type="list" sqref="O2:O21">
      <x:formula1>Options!$B$2:$B$6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53d4c2531943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4" hidden="0" customWidth="1"/>
  </x:cols>
  <x:sheetData>
    <x:row r="1" ht="30" customHeight="1">
      <x:c r="A1" s="30" t="str">
        <x:v>KURGIN sample catalog</x:v>
      </x:c>
      <x:c r="B1"/>
    </x:row>
    <x:row r="2">
      <x:c r="A2" t="str"/>
      <x:c r="B2"/>
    </x:row>
    <x:row r="3">
      <x:c r="A3" s="38" t="str">
        <x:v>Purpose</x:v>
      </x:c>
      <x:c r="B3" s="39" t="str">
        <x:v>Use this workbook to test import, scoring and filtering in the KURGIN Platform MVP.</x:v>
      </x:c>
    </x:row>
    <x:row r="4">
      <x:c r="A4" s="38" t="str">
        <x:v>How to use</x:v>
      </x:c>
      <x:c r="B4" s="39" t="str">
        <x:v>Run python -m streamlit run app.py, open Search, upload this XLSX or use the bundled sample.</x:v>
      </x:c>
    </x:row>
    <x:row r="5">
      <x:c r="A5" s="38" t="str">
        <x:v>Payments</x:v>
      </x:c>
      <x:c r="B5" s="39" t="str">
        <x:v>No payment, checkout, subscription, billing webhook or payment API is included.</x:v>
      </x:c>
    </x:row>
    <x:row r="6">
      <x:c r="A6" s="38" t="str">
        <x:v>Score formula</x:v>
      </x:c>
      <x:c r="B6" s="39" t="str">
        <x:v>The app recalculates score in kurgin/formula.py. The price_per_carat column is included only for spreadsheet review.</x:v>
      </x:c>
    </x:row>
    <x:row r="7">
      <x:c r="A7" s="38" t="str">
        <x:v>Last generated</x:v>
      </x:c>
      <x:c r="B7" s="39" t="str">
        <x:v>2026-06-02 01:42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16.020000457763672" hidden="0" customWidth="1"/>
    <x:col min="3" max="3" width="15.210000038146973" hidden="0" customWidth="1"/>
    <x:col min="4" max="4" width="17.5" hidden="0" customWidth="1"/>
    <x:col min="5" max="5" width="12.109999656677246" hidden="0" customWidth="1"/>
  </x:cols>
  <x:sheetData>
    <x:row r="1">
      <x:c r="A1" s="6" t="str">
        <x:v>cut_options</x:v>
      </x:c>
      <x:c r="B1" s="6" t="str">
        <x:v>availability_options</x:v>
      </x:c>
      <x:c r="C1" s="6" t="str">
        <x:v>certificate_options</x:v>
      </x:c>
      <x:c r="D1" s="6" t="str">
        <x:v>fluorescence_options</x:v>
      </x:c>
      <x:c r="E1" s="6" t="str">
        <x:v>clarity_options</x:v>
      </x:c>
    </x:row>
    <x:row r="2">
      <x:c r="A2" t="str">
        <x:v>Excellent</x:v>
      </x:c>
      <x:c r="B2" t="str">
        <x:v>Available</x:v>
      </x:c>
      <x:c r="C2" t="str">
        <x:v>GIA</x:v>
      </x:c>
      <x:c r="D2" t="str">
        <x:v>None</x:v>
      </x:c>
      <x:c r="E2" t="str">
        <x:v>FL</x:v>
      </x:c>
    </x:row>
    <x:row r="3">
      <x:c r="A3" t="str">
        <x:v>Very Good</x:v>
      </x:c>
      <x:c r="B3" t="str">
        <x:v>Reserved</x:v>
      </x:c>
      <x:c r="C3" t="str">
        <x:v>SSEF</x:v>
      </x:c>
      <x:c r="D3" t="str">
        <x:v>Faint</x:v>
      </x:c>
      <x:c r="E3" t="str">
        <x:v>IF</x:v>
      </x:c>
    </x:row>
    <x:row r="4">
      <x:c r="A4" t="str">
        <x:v>Good</x:v>
      </x:c>
      <x:c r="B4" t="str">
        <x:v>On Memo</x:v>
      </x:c>
      <x:c r="C4" t="str">
        <x:v>Gubelin</x:v>
      </x:c>
      <x:c r="D4" t="str">
        <x:v>Medium</x:v>
      </x:c>
      <x:c r="E4" t="str">
        <x:v>VVS1</x:v>
      </x:c>
    </x:row>
    <x:row r="5">
      <x:c r="A5" t="str">
        <x:v>Fair</x:v>
      </x:c>
      <x:c r="B5" t="str">
        <x:v>Pending</x:v>
      </x:c>
      <x:c r="C5" t="str">
        <x:v>GRS</x:v>
      </x:c>
      <x:c r="D5" t="str">
        <x:v>Strong</x:v>
      </x:c>
      <x:c r="E5" t="str">
        <x:v>VVS2</x:v>
      </x:c>
    </x:row>
    <x:row r="6">
      <x:c r="A6" t="str">
        <x:v>Poor</x:v>
      </x:c>
      <x:c r="B6" t="str">
        <x:v>Sold</x:v>
      </x:c>
      <x:c r="C6" t="str">
        <x:v>IGI</x:v>
      </x:c>
      <x:c r="D6" t="str">
        <x:v>Very Strong</x:v>
      </x:c>
      <x:c r="E6" t="str">
        <x:v>VS1</x:v>
      </x:c>
    </x:row>
    <x:row r="7">
      <x:c r="A7" t="str"/>
      <x:c r="B7" t="str"/>
      <x:c r="C7" t="str">
        <x:v>HRD</x:v>
      </x:c>
      <x:c r="D7" t="str"/>
      <x:c r="E7" t="str">
        <x:v>VS2</x:v>
      </x:c>
    </x:row>
    <x:row r="8">
      <x:c r="A8" t="str"/>
      <x:c r="B8" t="str"/>
      <x:c r="C8" t="str">
        <x:v>AIGS</x:v>
      </x:c>
      <x:c r="D8" t="str"/>
      <x:c r="E8" t="str">
        <x:v>SI1</x:v>
      </x:c>
    </x:row>
    <x:row r="9">
      <x:c r="A9" t="str"/>
      <x:c r="B9" t="str"/>
      <x:c r="C9" t="str">
        <x:v>Local</x:v>
      </x:c>
      <x:c r="D9" t="str"/>
      <x:c r="E9" t="str">
        <x:v>SI2</x:v>
      </x:c>
    </x:row>
    <x:row r="10">
      <x:c r="A10" t="str"/>
      <x:c r="B10" t="str"/>
      <x:c r="C10" t="str">
        <x:v>None</x:v>
      </x:c>
      <x:c r="D10" t="str"/>
      <x:c r="E10" t="str">
        <x:v>I1</x:v>
      </x:c>
    </x:row>
  </x:sheetData>
  <x:pageMargins left="0.7" right="0.7" top="0.75" bottom="0.75" header="0.3" footer="0.3"/>
</x:worksheet>
</file>